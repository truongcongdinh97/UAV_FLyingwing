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VSCode\Flying_Wing_UAV\"/>
    </mc:Choice>
  </mc:AlternateContent>
  <xr:revisionPtr revIDLastSave="0" documentId="13_ncr:1_{1CF8D18C-38E9-4BD2-B456-BAF5B024E55B}" xr6:coauthVersionLast="47" xr6:coauthVersionMax="47" xr10:uidLastSave="{00000000-0000-0000-0000-000000000000}"/>
  <bookViews>
    <workbookView xWindow="-120" yWindow="-120" windowWidth="29040" windowHeight="15720" xr2:uid="{85C5E4E3-B897-4EED-9951-462BCD6A4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7" i="1" l="1"/>
  <c r="D29" i="1"/>
  <c r="D25" i="1"/>
  <c r="D24" i="1"/>
  <c r="D39" i="1" s="1"/>
</calcChain>
</file>

<file path=xl/sharedStrings.xml><?xml version="1.0" encoding="utf-8"?>
<sst xmlns="http://schemas.openxmlformats.org/spreadsheetml/2006/main" count="71" uniqueCount="66">
  <si>
    <t>LANRC F4 V3S Plus Flight Controller</t>
  </si>
  <si>
    <t>Beitian BN-220</t>
  </si>
  <si>
    <t>Module định vị GPS</t>
  </si>
  <si>
    <t>Cảm biến la bàn điện tử HMC5883</t>
  </si>
  <si>
    <t>Module định hướng</t>
  </si>
  <si>
    <t>Hobbywing 3A UBEC</t>
  </si>
  <si>
    <t>I</t>
  </si>
  <si>
    <t>II</t>
  </si>
  <si>
    <t>Hệ thống Điều khiển &amp; Dẫn đường</t>
  </si>
  <si>
    <t>Hệ thống Liên lạc</t>
  </si>
  <si>
    <t>GY-9250</t>
  </si>
  <si>
    <t>SD Card</t>
  </si>
  <si>
    <t>Tay cầm Radiomaster Pocket</t>
  </si>
  <si>
    <t>Bộ truyền tín hiệu (Manual Control)</t>
  </si>
  <si>
    <t>Bộ nhận tín hiệu</t>
  </si>
  <si>
    <t>Hệ thống thu thập/phân tích dữ liệu (Hộp đen)</t>
  </si>
  <si>
    <t>III</t>
  </si>
  <si>
    <t>ESP32 - CAM</t>
  </si>
  <si>
    <t>Raspberry Pi</t>
  </si>
  <si>
    <t>Phát wifi - truyền video - dữ liệu về trạm mặt đất</t>
  </si>
  <si>
    <t>Hộp đen (có chức năng gửi GPS về HTTP)</t>
  </si>
  <si>
    <t>Hệ thống động lực</t>
  </si>
  <si>
    <t>IV</t>
  </si>
  <si>
    <t>V</t>
  </si>
  <si>
    <t>VI</t>
  </si>
  <si>
    <t>Hệ thống nguồn</t>
  </si>
  <si>
    <t>Bộ ổn áp độc lập cho servo</t>
  </si>
  <si>
    <t>Bộ điều tốc động cơ</t>
  </si>
  <si>
    <t>Động cơ chính cho hệ thống động lực kép</t>
  </si>
  <si>
    <t>2x Động Cơ RC Servo MG996R</t>
  </si>
  <si>
    <t>Điều khiển ELEVON (Elevator + Aileron)</t>
  </si>
  <si>
    <t>Module 5G Hotspot (Modified) - Pin độc lập</t>
  </si>
  <si>
    <t>Tên</t>
  </si>
  <si>
    <t>Ghi chú</t>
  </si>
  <si>
    <t>Giá</t>
  </si>
  <si>
    <t>801,118 vnđ</t>
  </si>
  <si>
    <t>Tổng chi phí dự tính:</t>
  </si>
  <si>
    <t>Có sẵn</t>
  </si>
  <si>
    <t>418,700 vnđ</t>
  </si>
  <si>
    <t>Bộ xả bộ sạc cân bằng Toolkitrc m7 200w 10a</t>
  </si>
  <si>
    <t>Nguồn Hp 12v 460w</t>
  </si>
  <si>
    <t>Nguồn sạc</t>
  </si>
  <si>
    <t>Bộ sạc</t>
  </si>
  <si>
    <t>2x Cánh quạt</t>
  </si>
  <si>
    <t>Tự thiết kế</t>
  </si>
  <si>
    <t xml:space="preserve">Mạch Thu  RX Radiomaster XR1 Nano </t>
  </si>
  <si>
    <t>Khác</t>
  </si>
  <si>
    <t>Vật tư phụ (dây điện / keo…)</t>
  </si>
  <si>
    <t>Camera OV5647 cho Raspberry Pi</t>
  </si>
  <si>
    <t>2x Mạch giảm áp Buck DC-DC Mini-360 3A</t>
  </si>
  <si>
    <t>Nguồn cho ESP32 và Raspberry Pi</t>
  </si>
  <si>
    <t>Máy tính đồng hành</t>
  </si>
  <si>
    <t>Cảm Biến Siêu Âm HC-SR04</t>
  </si>
  <si>
    <t>Trung tâm điều khiển (chỉ huy trên không)</t>
  </si>
  <si>
    <t>Máy tính AI đồng hành (tổng tư lệnh trên không)</t>
  </si>
  <si>
    <t xml:space="preserve">Cảm biến khoảng cách VL53L1X </t>
  </si>
  <si>
    <t>HC-SR04</t>
  </si>
  <si>
    <t>Đáp / hạ cánh</t>
  </si>
  <si>
    <t>FLYING WING UAV - Vật tư phần điện / điều khiển</t>
  </si>
  <si>
    <t>Nhựa in trọng lượng nhẹ - chuyên UAV (2 cuộn)</t>
  </si>
  <si>
    <t>2x DXW D4250 600KV 3-7S Outrunner</t>
  </si>
  <si>
    <t>2 x ESC (Bộ điều tốc) 100A</t>
  </si>
  <si>
    <t>2x Lipo CNHL LVNCell 6s 5200mah 65C</t>
  </si>
  <si>
    <t>Nguồn chính Cấu hình 6S2P - 10400mAh</t>
  </si>
  <si>
    <t>Thanh carbon phi 16mm</t>
  </si>
  <si>
    <t>Nhựa in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</si>
</sst>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\ &quot;vnđ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left" vertical="center" indent="2"/>
    </xf>
    <xf numFmtId="0" fontId="0" fillId="0" borderId="1" xfId="0" applyFill="1" applyBorder="1" applyAlignment="1">
      <alignment horizontal="left" vertical="center" indent="2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indent="2"/>
    </xf>
    <xf numFmtId="0" fontId="0" fillId="0" borderId="1" xfId="0" applyBorder="1" applyAlignment="1">
      <alignment horizontal="left" vertical="center" wrapText="1" indent="2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indent="1"/>
    </xf>
    <xf numFmtId="0" fontId="0" fillId="0" borderId="1" xfId="0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right" indent="1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 indent="2"/>
    </xf>
    <xf numFmtId="164" fontId="0" fillId="2" borderId="1" xfId="1" applyNumberFormat="1" applyFont="1" applyFill="1" applyBorder="1" applyAlignment="1">
      <alignment horizontal="right" indent="1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/>
    <xf numFmtId="0" fontId="2" fillId="2" borderId="1" xfId="0" applyFont="1" applyFill="1" applyBorder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indent="2"/>
    </xf>
    <xf numFmtId="0" fontId="2" fillId="2" borderId="1" xfId="0" applyFont="1" applyFill="1" applyBorder="1" applyAlignment="1">
      <alignment horizontal="left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F6C8-D709-4161-92BB-9E713613473A}">
  <dimension ref="A1:D39"/>
  <sheetViews>
    <sheetView tabSelected="1" topLeftCell="A5" workbookViewId="0">
      <selection activeCell="C41" sqref="C41"/>
    </sheetView>
  </sheetViews>
  <sheetFormatPr defaultRowHeight="15" x14ac:dyDescent="0.25"/>
  <cols>
    <col min="1" max="1" width="5.5703125" customWidth="1"/>
    <col min="2" max="2" width="45.42578125" customWidth="1"/>
    <col min="3" max="3" width="46.42578125" customWidth="1"/>
    <col min="4" max="4" width="19.140625" customWidth="1"/>
  </cols>
  <sheetData>
    <row r="1" spans="1:4" ht="33.75" customHeight="1" x14ac:dyDescent="0.25">
      <c r="A1" s="18" t="s">
        <v>58</v>
      </c>
      <c r="B1" s="18"/>
      <c r="C1" s="18"/>
      <c r="D1" s="18"/>
    </row>
    <row r="2" spans="1:4" x14ac:dyDescent="0.25">
      <c r="A2" s="11"/>
      <c r="B2" s="11" t="s">
        <v>32</v>
      </c>
      <c r="C2" s="11" t="s">
        <v>33</v>
      </c>
      <c r="D2" s="11" t="s">
        <v>34</v>
      </c>
    </row>
    <row r="3" spans="1:4" x14ac:dyDescent="0.25">
      <c r="A3" s="7" t="s">
        <v>6</v>
      </c>
      <c r="B3" s="17" t="s">
        <v>8</v>
      </c>
      <c r="C3" s="17"/>
      <c r="D3" s="14"/>
    </row>
    <row r="4" spans="1:4" x14ac:dyDescent="0.25">
      <c r="A4" s="6">
        <v>1</v>
      </c>
      <c r="B4" s="1" t="s">
        <v>0</v>
      </c>
      <c r="C4" s="1" t="s">
        <v>53</v>
      </c>
      <c r="D4" s="10" t="s">
        <v>35</v>
      </c>
    </row>
    <row r="5" spans="1:4" x14ac:dyDescent="0.25">
      <c r="A5" s="6">
        <v>2</v>
      </c>
      <c r="B5" s="1" t="s">
        <v>1</v>
      </c>
      <c r="C5" s="1" t="s">
        <v>2</v>
      </c>
      <c r="D5" s="10">
        <v>284751</v>
      </c>
    </row>
    <row r="6" spans="1:4" x14ac:dyDescent="0.25">
      <c r="A6" s="6">
        <v>3</v>
      </c>
      <c r="B6" s="1" t="s">
        <v>3</v>
      </c>
      <c r="C6" s="1" t="s">
        <v>4</v>
      </c>
      <c r="D6" s="10">
        <v>145000</v>
      </c>
    </row>
    <row r="7" spans="1:4" x14ac:dyDescent="0.25">
      <c r="A7" s="6">
        <v>7</v>
      </c>
      <c r="B7" s="1" t="s">
        <v>55</v>
      </c>
      <c r="C7" s="1" t="s">
        <v>57</v>
      </c>
      <c r="D7" s="10">
        <v>259000</v>
      </c>
    </row>
    <row r="8" spans="1:4" x14ac:dyDescent="0.25">
      <c r="A8" s="6">
        <v>4</v>
      </c>
      <c r="B8" s="1"/>
      <c r="C8" s="1"/>
      <c r="D8" s="10"/>
    </row>
    <row r="9" spans="1:4" x14ac:dyDescent="0.25">
      <c r="A9" s="7" t="s">
        <v>7</v>
      </c>
      <c r="B9" s="19" t="s">
        <v>9</v>
      </c>
      <c r="C9" s="20"/>
      <c r="D9" s="14"/>
    </row>
    <row r="10" spans="1:4" x14ac:dyDescent="0.25">
      <c r="A10" s="6">
        <v>1</v>
      </c>
      <c r="B10" s="2" t="s">
        <v>12</v>
      </c>
      <c r="C10" s="1" t="s">
        <v>13</v>
      </c>
      <c r="D10" s="10">
        <v>1859000</v>
      </c>
    </row>
    <row r="11" spans="1:4" x14ac:dyDescent="0.25">
      <c r="A11" s="6">
        <v>2</v>
      </c>
      <c r="B11" s="1" t="s">
        <v>45</v>
      </c>
      <c r="C11" s="1" t="s">
        <v>14</v>
      </c>
      <c r="D11" s="10">
        <v>469000</v>
      </c>
    </row>
    <row r="12" spans="1:4" x14ac:dyDescent="0.25">
      <c r="A12" s="6"/>
      <c r="B12" s="3"/>
      <c r="C12" s="1"/>
      <c r="D12" s="10"/>
    </row>
    <row r="13" spans="1:4" x14ac:dyDescent="0.25">
      <c r="A13" s="8" t="s">
        <v>16</v>
      </c>
      <c r="B13" s="17" t="s">
        <v>15</v>
      </c>
      <c r="C13" s="17"/>
      <c r="D13" s="14"/>
    </row>
    <row r="14" spans="1:4" x14ac:dyDescent="0.25">
      <c r="A14" s="6">
        <v>1</v>
      </c>
      <c r="B14" s="4" t="s">
        <v>17</v>
      </c>
      <c r="C14" s="21" t="s">
        <v>20</v>
      </c>
      <c r="D14" s="10" t="s">
        <v>37</v>
      </c>
    </row>
    <row r="15" spans="1:4" x14ac:dyDescent="0.25">
      <c r="A15" s="6">
        <v>2</v>
      </c>
      <c r="B15" s="4" t="s">
        <v>10</v>
      </c>
      <c r="C15" s="21"/>
      <c r="D15" s="10" t="s">
        <v>37</v>
      </c>
    </row>
    <row r="16" spans="1:4" x14ac:dyDescent="0.25">
      <c r="A16" s="6">
        <v>3</v>
      </c>
      <c r="B16" s="4" t="s">
        <v>11</v>
      </c>
      <c r="C16" s="21"/>
      <c r="D16" s="10" t="s">
        <v>37</v>
      </c>
    </row>
    <row r="17" spans="1:4" x14ac:dyDescent="0.25">
      <c r="A17" s="6">
        <v>4</v>
      </c>
      <c r="B17" s="4" t="s">
        <v>31</v>
      </c>
      <c r="C17" s="4" t="s">
        <v>19</v>
      </c>
      <c r="D17" s="10" t="s">
        <v>37</v>
      </c>
    </row>
    <row r="18" spans="1:4" x14ac:dyDescent="0.25">
      <c r="A18" s="6">
        <v>6</v>
      </c>
      <c r="B18" s="4" t="s">
        <v>56</v>
      </c>
      <c r="C18" s="4" t="s">
        <v>52</v>
      </c>
      <c r="D18" s="10">
        <v>50000</v>
      </c>
    </row>
    <row r="19" spans="1:4" x14ac:dyDescent="0.25">
      <c r="A19" s="6"/>
      <c r="B19" s="4"/>
      <c r="C19" s="4"/>
      <c r="D19" s="10"/>
    </row>
    <row r="20" spans="1:4" x14ac:dyDescent="0.25">
      <c r="A20" s="8" t="s">
        <v>22</v>
      </c>
      <c r="B20" s="22" t="s">
        <v>51</v>
      </c>
      <c r="C20" s="22"/>
      <c r="D20" s="14"/>
    </row>
    <row r="21" spans="1:4" ht="28.5" customHeight="1" x14ac:dyDescent="0.25">
      <c r="A21" s="6">
        <v>1</v>
      </c>
      <c r="B21" s="1" t="s">
        <v>18</v>
      </c>
      <c r="C21" s="5" t="s">
        <v>54</v>
      </c>
      <c r="D21" s="10" t="s">
        <v>37</v>
      </c>
    </row>
    <row r="22" spans="1:4" x14ac:dyDescent="0.25">
      <c r="A22" s="6">
        <v>2</v>
      </c>
      <c r="B22" s="1" t="s">
        <v>48</v>
      </c>
      <c r="C22" s="5"/>
      <c r="D22" s="10">
        <v>105000</v>
      </c>
    </row>
    <row r="23" spans="1:4" x14ac:dyDescent="0.25">
      <c r="A23" s="7" t="s">
        <v>23</v>
      </c>
      <c r="B23" s="17" t="s">
        <v>21</v>
      </c>
      <c r="C23" s="17"/>
      <c r="D23" s="14"/>
    </row>
    <row r="24" spans="1:4" x14ac:dyDescent="0.25">
      <c r="A24" s="6">
        <v>1</v>
      </c>
      <c r="B24" s="1" t="s">
        <v>60</v>
      </c>
      <c r="C24" s="1" t="s">
        <v>28</v>
      </c>
      <c r="D24" s="10">
        <f>510968*2</f>
        <v>1021936</v>
      </c>
    </row>
    <row r="25" spans="1:4" x14ac:dyDescent="0.25">
      <c r="A25" s="6">
        <v>2</v>
      </c>
      <c r="B25" s="1" t="s">
        <v>61</v>
      </c>
      <c r="C25" s="1" t="s">
        <v>27</v>
      </c>
      <c r="D25" s="10">
        <f>345000*2</f>
        <v>690000</v>
      </c>
    </row>
    <row r="26" spans="1:4" x14ac:dyDescent="0.25">
      <c r="A26" s="6">
        <v>3</v>
      </c>
      <c r="B26" s="1" t="s">
        <v>29</v>
      </c>
      <c r="C26" s="1" t="s">
        <v>30</v>
      </c>
      <c r="D26" s="10">
        <v>180000</v>
      </c>
    </row>
    <row r="27" spans="1:4" x14ac:dyDescent="0.25">
      <c r="A27" s="6">
        <v>4</v>
      </c>
      <c r="B27" s="1" t="s">
        <v>43</v>
      </c>
      <c r="C27" s="1" t="s">
        <v>44</v>
      </c>
      <c r="D27" s="10"/>
    </row>
    <row r="28" spans="1:4" x14ac:dyDescent="0.25">
      <c r="A28" s="7" t="s">
        <v>24</v>
      </c>
      <c r="B28" s="17" t="s">
        <v>25</v>
      </c>
      <c r="C28" s="17"/>
      <c r="D28" s="14"/>
    </row>
    <row r="29" spans="1:4" x14ac:dyDescent="0.25">
      <c r="A29" s="6">
        <v>1</v>
      </c>
      <c r="B29" s="1" t="s">
        <v>62</v>
      </c>
      <c r="C29" s="1" t="s">
        <v>63</v>
      </c>
      <c r="D29" s="10">
        <f>2*780000</f>
        <v>1560000</v>
      </c>
    </row>
    <row r="30" spans="1:4" x14ac:dyDescent="0.25">
      <c r="A30" s="6">
        <v>2</v>
      </c>
      <c r="B30" s="1" t="s">
        <v>5</v>
      </c>
      <c r="C30" s="1" t="s">
        <v>26</v>
      </c>
      <c r="D30" s="10">
        <v>138000</v>
      </c>
    </row>
    <row r="31" spans="1:4" x14ac:dyDescent="0.25">
      <c r="A31" s="6">
        <v>3</v>
      </c>
      <c r="B31" s="1" t="s">
        <v>40</v>
      </c>
      <c r="C31" s="1" t="s">
        <v>41</v>
      </c>
      <c r="D31" s="10" t="s">
        <v>38</v>
      </c>
    </row>
    <row r="32" spans="1:4" x14ac:dyDescent="0.25">
      <c r="A32" s="6">
        <v>4</v>
      </c>
      <c r="B32" s="1" t="s">
        <v>39</v>
      </c>
      <c r="C32" s="1" t="s">
        <v>42</v>
      </c>
      <c r="D32" s="10">
        <v>981068</v>
      </c>
    </row>
    <row r="33" spans="1:4" x14ac:dyDescent="0.25">
      <c r="A33" s="9">
        <v>5</v>
      </c>
      <c r="B33" s="2" t="s">
        <v>49</v>
      </c>
      <c r="C33" s="4" t="s">
        <v>50</v>
      </c>
      <c r="D33" s="10">
        <v>15000</v>
      </c>
    </row>
    <row r="34" spans="1:4" x14ac:dyDescent="0.25">
      <c r="A34" s="7" t="s">
        <v>24</v>
      </c>
      <c r="B34" s="17" t="s">
        <v>46</v>
      </c>
      <c r="C34" s="17"/>
      <c r="D34" s="14"/>
    </row>
    <row r="35" spans="1:4" x14ac:dyDescent="0.25">
      <c r="A35" s="6">
        <v>1</v>
      </c>
      <c r="B35" s="1" t="s">
        <v>47</v>
      </c>
      <c r="C35" s="1"/>
      <c r="D35" s="10"/>
    </row>
    <row r="36" spans="1:4" x14ac:dyDescent="0.25">
      <c r="A36" s="6">
        <v>2</v>
      </c>
      <c r="B36" s="1" t="s">
        <v>64</v>
      </c>
      <c r="C36" s="1"/>
      <c r="D36" s="10"/>
    </row>
    <row r="37" spans="1:4" x14ac:dyDescent="0.25">
      <c r="A37" s="6">
        <v>2</v>
      </c>
      <c r="B37" s="1" t="s">
        <v>65</v>
      </c>
      <c r="C37" s="1" t="s">
        <v>59</v>
      </c>
      <c r="D37" s="10">
        <f>2*755000</f>
        <v>1510000</v>
      </c>
    </row>
    <row r="38" spans="1:4" x14ac:dyDescent="0.25">
      <c r="A38" s="12">
        <v>3</v>
      </c>
      <c r="B38" s="13"/>
      <c r="C38" s="1"/>
      <c r="D38" s="10"/>
    </row>
    <row r="39" spans="1:4" x14ac:dyDescent="0.25">
      <c r="C39" s="15" t="s">
        <v>36</v>
      </c>
      <c r="D39" s="16">
        <f>SUM(D3:D38)</f>
        <v>9267755</v>
      </c>
    </row>
  </sheetData>
  <mergeCells count="9">
    <mergeCell ref="B28:C28"/>
    <mergeCell ref="A1:D1"/>
    <mergeCell ref="B34:C34"/>
    <mergeCell ref="B3:C3"/>
    <mergeCell ref="B9:C9"/>
    <mergeCell ref="B13:C13"/>
    <mergeCell ref="C14:C16"/>
    <mergeCell ref="B20:C20"/>
    <mergeCell ref="B23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Nhac Nuoc</dc:creator>
  <cp:lastModifiedBy>Trương Công Định</cp:lastModifiedBy>
  <dcterms:created xsi:type="dcterms:W3CDTF">2025-11-22T02:53:37Z</dcterms:created>
  <dcterms:modified xsi:type="dcterms:W3CDTF">2025-11-24T03:56:01Z</dcterms:modified>
</cp:coreProperties>
</file>